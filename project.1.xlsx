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ana\OneDrive\Desktop\exel\"/>
    </mc:Choice>
  </mc:AlternateContent>
  <xr:revisionPtr revIDLastSave="0" documentId="13_ncr:1_{4889CFAC-6632-46D8-9DCE-9E9E53CEE500}" xr6:coauthVersionLast="47" xr6:coauthVersionMax="47" xr10:uidLastSave="{00000000-0000-0000-0000-000000000000}"/>
  <bookViews>
    <workbookView xWindow="-108" yWindow="-108" windowWidth="23256" windowHeight="12456" xr2:uid="{D452943F-EDDB-4DC7-8DBE-7804AA4E6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38" i="1"/>
  <c r="F35" i="1" a="1"/>
  <c r="F35" i="1" s="1"/>
  <c r="I3" i="1"/>
  <c r="J3" i="1"/>
  <c r="K3" i="1"/>
  <c r="I4" i="1"/>
  <c r="J4" i="1" s="1"/>
  <c r="K4" i="1" s="1"/>
  <c r="I5" i="1"/>
  <c r="J5" i="1"/>
  <c r="K5" i="1" s="1"/>
  <c r="I6" i="1"/>
  <c r="J6" i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/>
  <c r="K11" i="1"/>
  <c r="I12" i="1"/>
  <c r="J12" i="1"/>
  <c r="K12" i="1" s="1"/>
  <c r="I13" i="1"/>
  <c r="J13" i="1"/>
  <c r="K13" i="1" s="1"/>
  <c r="I14" i="1"/>
  <c r="J14" i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/>
  <c r="K19" i="1"/>
  <c r="I20" i="1"/>
  <c r="J20" i="1"/>
  <c r="K20" i="1" s="1"/>
  <c r="I21" i="1"/>
  <c r="J21" i="1"/>
  <c r="K21" i="1" s="1"/>
  <c r="I22" i="1"/>
  <c r="J22" i="1"/>
  <c r="K22" i="1" s="1"/>
  <c r="G31" i="1" a="1"/>
  <c r="G31" i="1" s="1"/>
  <c r="B44" i="1"/>
  <c r="B40" i="1"/>
  <c r="B41" i="1"/>
  <c r="U7" i="1"/>
  <c r="D27" i="1"/>
  <c r="D28" i="1"/>
  <c r="D26" i="1"/>
  <c r="D24" i="1"/>
  <c r="D25" i="1"/>
  <c r="D23" i="1"/>
  <c r="B52" i="1"/>
  <c r="B51" i="1"/>
  <c r="B50" i="1"/>
  <c r="B49" i="1"/>
  <c r="B48" i="1"/>
  <c r="B45" i="1"/>
  <c r="B43" i="1"/>
  <c r="V3" i="1"/>
  <c r="U3" i="1"/>
  <c r="B42" i="1"/>
  <c r="B37" i="1"/>
  <c r="B36" i="1"/>
  <c r="B35" i="1"/>
  <c r="B34" i="1"/>
  <c r="B3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B3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B30" i="1"/>
  <c r="U4" i="1"/>
  <c r="U5" i="1"/>
  <c r="U6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B29" i="1"/>
  <c r="B46" i="1" a="1"/>
  <c r="B46" i="1" l="1"/>
  <c r="B53" i="1" a="1"/>
  <c r="B5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<sst xmlns="http://schemas.openxmlformats.org/spreadsheetml/2006/main" count="148" uniqueCount="101">
  <si>
    <t>Student ID</t>
  </si>
  <si>
    <t>Name</t>
  </si>
  <si>
    <t>Math</t>
  </si>
  <si>
    <t>Science</t>
  </si>
  <si>
    <t>English</t>
  </si>
  <si>
    <t>Enrollment Date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</si>
  <si>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</si>
  <si>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</si>
  <si>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</si>
  <si>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</si>
  <si>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</si>
  <si>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</si>
  <si>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</si>
  <si>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</si>
  <si>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</si>
  <si>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</si>
  <si>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</si>
  <si>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</si>
  <si>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</si>
  <si>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</si>
  <si>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</si>
  <si>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</si>
  <si>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</si>
  <si>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</si>
  <si>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</si>
  <si>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</si>
  <si>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</si>
  <si>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</si>
  <si>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</si>
  <si>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</si>
  <si>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</si>
  <si>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</si>
  <si>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</si>
  <si>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</si>
  <si>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</si>
  <si>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</si>
  <si>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</si>
  <si>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</si>
  <si>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</si>
  <si>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</si>
  <si>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</si>
  <si>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</si>
  <si>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</si>
  <si>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</si>
  <si>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</si>
  <si>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</si>
  <si>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</si>
  <si>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</si>
  <si>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</si>
  <si>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</si>
  <si>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</si>
  <si>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</si>
  <si>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</si>
  <si>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</si>
  <si>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</si>
  <si>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</si>
  <si>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</si>
  <si>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</si>
  <si>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</si>
  <si>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</si>
  <si>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</si>
  <si>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</si>
  <si>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</si>
  <si>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</si>
  <si>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</si>
  <si>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</si>
  <si>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</si>
  <si>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</si>
  <si>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</si>
  <si>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</si>
  <si>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</si>
  <si>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</si>
  <si>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</si>
  <si>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</si>
  <si>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</si>
  <si>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</si>
  <si>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</si>
  <si>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</si>
  <si>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</si>
  <si>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</si>
  <si>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</si>
  <si>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</si>
  <si>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</si>
  <si>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</si>
  <si>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</si>
  <si>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</si>
  <si>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</si>
  <si>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Column1</t>
  </si>
  <si>
    <t>Column2</t>
  </si>
  <si>
    <t>Column3</t>
  </si>
  <si>
    <t>Column4</t>
  </si>
  <si>
    <t>Column5</t>
  </si>
  <si>
    <t>total</t>
  </si>
  <si>
    <t>grade</t>
  </si>
  <si>
    <t>avg</t>
  </si>
  <si>
    <t>discount</t>
  </si>
  <si>
    <t>80+</t>
  </si>
  <si>
    <t>d/nd</t>
  </si>
  <si>
    <t>pro id</t>
  </si>
  <si>
    <t>Manan patel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</si>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</sst>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E6E8F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0" fontId="2" fillId="0" borderId="0" xfId="0" applyFont="1"/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2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2" fontId="0" fillId="0" borderId="12" xfId="0" applyNumberFormat="1" applyBorder="1" applyAlignment="1">
      <alignment horizontal="center" vertical="center" wrapText="1"/>
    </xf>
    <xf numFmtId="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10">
    <dxf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19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7A8CE-B8F9-4745-BFD7-A9E7E8C3AB6D}" name="Table1" displayName="Table1" ref="X3:AB7" totalsRowShown="0" headerRowDxfId="9" dataDxfId="7" headerRowBorderDxfId="8" tableBorderDxfId="6" totalsRowBorderDxfId="5">
  <autoFilter ref="X3:AB7" xr:uid="{C407A8CE-B8F9-4745-BFD7-A9E7E8C3AB6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DEB655D-0A0E-4356-8944-E3218F9E0FC6}" name="Column1" dataDxfId="4"/>
    <tableColumn id="2" xr3:uid="{BC60886F-978E-49C3-A04A-1635AFD089F5}" name="Column2" dataDxfId="3"/>
    <tableColumn id="3" xr3:uid="{A7EC48BE-FD24-458E-A59B-1569C5B4327F}" name="Column3" dataDxfId="2"/>
    <tableColumn id="4" xr3:uid="{B320DCB5-565F-4A1C-9CD9-35EF557B10D3}" name="Column4" dataDxfId="1"/>
    <tableColumn id="5" xr3:uid="{18633BE5-D192-4462-BB77-7DF78271B953}" name="Column5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1B3-FB2A-4446-9520-3F5A15A797D6}">
  <dimension ref="A1:AB55"/>
  <sheetViews>
    <sheetView tabSelected="1" topLeftCell="I1" zoomScale="115" zoomScaleNormal="115" workbookViewId="0">
      <selection activeCell="L7" sqref="L7"/>
    </sheetView>
  </sheetViews>
  <sheetFormatPr defaultRowHeight="14.4"/>
  <cols>
    <col min="2" max="2" width="13.44140625" customWidth="1"/>
    <col min="6" max="6" width="8.88671875" customWidth="1"/>
    <col min="7" max="8" width="20.21875" customWidth="1"/>
    <col min="9" max="9" width="13.77734375" customWidth="1"/>
    <col min="10" max="10" width="8.109375" customWidth="1"/>
    <col min="11" max="11" width="10.44140625" customWidth="1"/>
    <col min="12" max="12" width="9" customWidth="1"/>
    <col min="19" max="20" width="17.6640625" customWidth="1"/>
    <col min="21" max="22" width="10.6640625" customWidth="1"/>
    <col min="24" max="27" width="10.109375" customWidth="1"/>
    <col min="28" max="28" width="19" customWidth="1"/>
    <col min="31" max="31" width="8.88671875" customWidth="1"/>
  </cols>
  <sheetData>
    <row r="1" spans="1:28" ht="15" thickBot="1"/>
    <row r="2" spans="1:28" ht="24.6" customHeight="1" thickBot="1">
      <c r="A2" s="6">
        <v>1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9" t="s">
        <v>100</v>
      </c>
      <c r="I2" s="19" t="s">
        <v>92</v>
      </c>
      <c r="J2" s="19" t="s">
        <v>94</v>
      </c>
      <c r="K2" s="19" t="s">
        <v>93</v>
      </c>
      <c r="L2" s="19" t="s">
        <v>96</v>
      </c>
      <c r="M2" s="6">
        <v>2</v>
      </c>
      <c r="N2" s="19" t="s">
        <v>98</v>
      </c>
      <c r="O2" s="1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2" t="s">
        <v>95</v>
      </c>
      <c r="V2" s="19" t="s">
        <v>97</v>
      </c>
      <c r="W2" s="6">
        <v>3</v>
      </c>
      <c r="X2" s="1" t="s">
        <v>60</v>
      </c>
      <c r="Y2" s="2" t="s">
        <v>1</v>
      </c>
      <c r="Z2" s="2" t="s">
        <v>61</v>
      </c>
      <c r="AA2" s="2" t="s">
        <v>62</v>
      </c>
      <c r="AB2" s="2" t="s">
        <v>63</v>
      </c>
    </row>
    <row r="3" spans="1:28" ht="30" customHeight="1" thickBot="1">
      <c r="B3" s="3">
        <v>1001</v>
      </c>
      <c r="C3" s="4" t="s">
        <v>99</v>
      </c>
      <c r="D3" s="7">
        <v>61</v>
      </c>
      <c r="E3" s="8">
        <v>48</v>
      </c>
      <c r="F3" s="4">
        <v>76</v>
      </c>
      <c r="G3" s="5">
        <v>43101</v>
      </c>
      <c r="H3" s="20">
        <v>38626</v>
      </c>
      <c r="I3" s="21">
        <f>SUM(D3:F3)</f>
        <v>185</v>
      </c>
      <c r="J3" s="21">
        <f>AVERAGE(I3/3)</f>
        <v>61.666666666666664</v>
      </c>
      <c r="K3" s="20" t="str">
        <f>IF(J3&gt;90,"a",IF(J3&gt;80,"b",IF(J3&gt;70,"c",IF(J3&gt;60,"d","f"))))</f>
        <v>d</v>
      </c>
      <c r="L3" t="str">
        <f>IF(AND(D3&gt;80, E3&gt;80),"yes","no")</f>
        <v>no</v>
      </c>
      <c r="N3">
        <v>101</v>
      </c>
      <c r="O3" s="3">
        <v>2001</v>
      </c>
      <c r="P3" s="4" t="s">
        <v>31</v>
      </c>
      <c r="Q3" s="4" t="s">
        <v>32</v>
      </c>
      <c r="R3" s="4" t="s">
        <v>33</v>
      </c>
      <c r="S3" s="9">
        <v>7048.7865400000001</v>
      </c>
      <c r="T3" s="26">
        <v>44927</v>
      </c>
      <c r="U3">
        <f>IF(S3&gt;40000,0.1,IF(S3&gt;=30000,0.8,IF(S3&gt;=20000,0.6,IF(S3&gt;=10000,0.5,0.4))))</f>
        <v>0.4</v>
      </c>
      <c r="V3" t="str">
        <f>IF(OR(S3&gt;20000,Q3="south","east"),"d","nd")</f>
        <v>d</v>
      </c>
      <c r="X3" s="12" t="s">
        <v>87</v>
      </c>
      <c r="Y3" s="13" t="s">
        <v>88</v>
      </c>
      <c r="Z3" s="13" t="s">
        <v>89</v>
      </c>
      <c r="AA3" s="13" t="s">
        <v>90</v>
      </c>
      <c r="AB3" s="14" t="s">
        <v>91</v>
      </c>
    </row>
    <row r="4" spans="1:28" ht="29.4" thickBot="1">
      <c r="B4" s="3">
        <v>1002</v>
      </c>
      <c r="C4" s="4" t="s">
        <v>6</v>
      </c>
      <c r="D4" s="7">
        <v>78</v>
      </c>
      <c r="E4" s="8">
        <v>76</v>
      </c>
      <c r="F4" s="4">
        <v>70</v>
      </c>
      <c r="G4" s="5">
        <v>43281</v>
      </c>
      <c r="H4" s="20">
        <v>38627</v>
      </c>
      <c r="I4" s="21">
        <f t="shared" ref="I4:I22" si="0">SUM(D4:F4)</f>
        <v>224</v>
      </c>
      <c r="J4" s="21">
        <f t="shared" ref="J4:J22" si="1">AVERAGE(I4/3)</f>
        <v>74.666666666666671</v>
      </c>
      <c r="K4" s="20" t="str">
        <f t="shared" ref="K4:K22" si="2">IF(J4&gt;90,"a",IF(J4&gt;80,"b",IF(J4&gt;70,"c",IF(J4&gt;60,"d","f"))))</f>
        <v>c</v>
      </c>
      <c r="L4" t="str">
        <f>IF(AND(D4&gt;80, E4&gt;80),"yes","no")</f>
        <v>no</v>
      </c>
      <c r="N4">
        <v>102</v>
      </c>
      <c r="O4" s="3">
        <v>2002</v>
      </c>
      <c r="P4" s="4" t="s">
        <v>34</v>
      </c>
      <c r="Q4" s="4" t="s">
        <v>35</v>
      </c>
      <c r="R4" s="4" t="s">
        <v>36</v>
      </c>
      <c r="S4" s="9">
        <v>17428.123</v>
      </c>
      <c r="T4" s="26">
        <v>44942</v>
      </c>
      <c r="U4">
        <f t="shared" ref="U4:U22" si="3">IF(S4&gt;40000,0.1,IF(S4&gt;=30000,0.8,IF(S4&gt;=20000,0.6,IF(S4&gt;=10000,0.5,0.4))))</f>
        <v>0.5</v>
      </c>
      <c r="V4" t="str">
        <f t="shared" ref="V4:V22" si="4">IF(OR(S4&gt;20000,Q4="south","east"),"d","nd")</f>
        <v>nd</v>
      </c>
      <c r="X4" s="10">
        <v>3001</v>
      </c>
      <c r="Y4" s="4" t="s">
        <v>64</v>
      </c>
      <c r="Z4" s="4" t="s">
        <v>65</v>
      </c>
      <c r="AA4" s="4">
        <v>86766</v>
      </c>
      <c r="AB4" s="11">
        <v>42005</v>
      </c>
    </row>
    <row r="5" spans="1:28" ht="29.4" thickBot="1">
      <c r="B5" s="3">
        <v>1003</v>
      </c>
      <c r="C5" s="4" t="s">
        <v>7</v>
      </c>
      <c r="D5" s="7">
        <v>97</v>
      </c>
      <c r="E5" s="8">
        <v>60</v>
      </c>
      <c r="F5" s="4">
        <v>51</v>
      </c>
      <c r="G5" s="5">
        <v>43461</v>
      </c>
      <c r="H5" s="20">
        <v>38628</v>
      </c>
      <c r="I5" s="21">
        <f t="shared" si="0"/>
        <v>208</v>
      </c>
      <c r="J5" s="21">
        <f t="shared" si="1"/>
        <v>69.333333333333329</v>
      </c>
      <c r="K5" s="20" t="str">
        <f t="shared" si="2"/>
        <v>d</v>
      </c>
      <c r="L5" t="str">
        <f>IF(AND(D5&gt;80, E5&gt;80),"yes","no")</f>
        <v>no</v>
      </c>
      <c r="N5">
        <v>103</v>
      </c>
      <c r="O5" s="3">
        <v>2003</v>
      </c>
      <c r="P5" s="4" t="s">
        <v>37</v>
      </c>
      <c r="Q5" s="4" t="s">
        <v>32</v>
      </c>
      <c r="R5" s="4" t="s">
        <v>38</v>
      </c>
      <c r="S5" s="9">
        <v>23672</v>
      </c>
      <c r="T5" s="26">
        <v>44957</v>
      </c>
      <c r="U5">
        <f t="shared" si="3"/>
        <v>0.6</v>
      </c>
      <c r="V5" t="str">
        <f t="shared" si="4"/>
        <v>d</v>
      </c>
      <c r="X5" s="10">
        <v>3002</v>
      </c>
      <c r="Y5" s="4" t="s">
        <v>66</v>
      </c>
      <c r="Z5" s="4" t="s">
        <v>65</v>
      </c>
      <c r="AA5" s="4">
        <v>31943</v>
      </c>
      <c r="AB5" s="11">
        <v>42255</v>
      </c>
    </row>
    <row r="6" spans="1:28" ht="29.4" thickBot="1">
      <c r="B6" s="3">
        <v>1004</v>
      </c>
      <c r="C6" s="4" t="s">
        <v>8</v>
      </c>
      <c r="D6" s="7">
        <v>74</v>
      </c>
      <c r="E6" s="8">
        <v>55</v>
      </c>
      <c r="F6" s="4">
        <v>46</v>
      </c>
      <c r="G6" s="5">
        <v>43641</v>
      </c>
      <c r="H6" s="20">
        <v>38629</v>
      </c>
      <c r="I6" s="21">
        <f t="shared" si="0"/>
        <v>175</v>
      </c>
      <c r="J6" s="21">
        <f t="shared" si="1"/>
        <v>58.333333333333336</v>
      </c>
      <c r="K6" s="20" t="str">
        <f t="shared" si="2"/>
        <v>f</v>
      </c>
      <c r="L6" t="str">
        <f>IF(AND(D6&gt;80, E6&gt;80),"yes","no")</f>
        <v>no</v>
      </c>
      <c r="N6">
        <v>104</v>
      </c>
      <c r="O6" s="3">
        <v>2004</v>
      </c>
      <c r="P6" s="4" t="s">
        <v>34</v>
      </c>
      <c r="Q6" s="4" t="s">
        <v>39</v>
      </c>
      <c r="R6" s="4" t="s">
        <v>40</v>
      </c>
      <c r="S6" s="9">
        <v>5264</v>
      </c>
      <c r="T6" s="26">
        <v>44972</v>
      </c>
      <c r="U6">
        <f t="shared" si="3"/>
        <v>0.4</v>
      </c>
      <c r="V6" t="str">
        <f t="shared" si="4"/>
        <v>nd</v>
      </c>
      <c r="X6" s="10">
        <v>3003</v>
      </c>
      <c r="Y6" s="4" t="s">
        <v>67</v>
      </c>
      <c r="Z6" s="4" t="s">
        <v>68</v>
      </c>
      <c r="AA6" s="4">
        <v>63374</v>
      </c>
      <c r="AB6" s="11">
        <v>42505</v>
      </c>
    </row>
    <row r="7" spans="1:28" ht="29.4" thickBot="1">
      <c r="B7" s="3">
        <v>1005</v>
      </c>
      <c r="C7" s="4" t="s">
        <v>9</v>
      </c>
      <c r="D7" s="7">
        <v>68</v>
      </c>
      <c r="E7" s="8">
        <v>74</v>
      </c>
      <c r="F7" s="4">
        <v>84</v>
      </c>
      <c r="G7" s="5">
        <v>43821</v>
      </c>
      <c r="H7" s="20">
        <v>38630</v>
      </c>
      <c r="I7" s="21">
        <f t="shared" si="0"/>
        <v>226</v>
      </c>
      <c r="J7" s="21">
        <f t="shared" si="1"/>
        <v>75.333333333333329</v>
      </c>
      <c r="K7" s="20" t="str">
        <f t="shared" si="2"/>
        <v>c</v>
      </c>
      <c r="L7" t="str">
        <f>IF(AND(D7&gt;80, E7&gt;80),"yes","no")</f>
        <v>no</v>
      </c>
      <c r="N7">
        <v>105</v>
      </c>
      <c r="O7" s="3">
        <v>2005</v>
      </c>
      <c r="P7" s="4" t="s">
        <v>31</v>
      </c>
      <c r="Q7" s="4" t="s">
        <v>41</v>
      </c>
      <c r="R7" s="4" t="s">
        <v>42</v>
      </c>
      <c r="S7" s="9">
        <v>43388</v>
      </c>
      <c r="T7" s="26">
        <v>44987</v>
      </c>
      <c r="U7">
        <f>IF(S7&gt;40000,0.1,IF(S7&gt;=30000,0.8,IF(S7&gt;=20000,0.6,IF(S7&gt;=10000,0.5,0.4))))</f>
        <v>0.1</v>
      </c>
      <c r="V7" t="str">
        <f t="shared" si="4"/>
        <v>d</v>
      </c>
      <c r="X7" s="15">
        <v>3004</v>
      </c>
      <c r="Y7" s="16" t="s">
        <v>69</v>
      </c>
      <c r="Z7" s="16" t="s">
        <v>65</v>
      </c>
      <c r="AA7" s="16">
        <v>109972</v>
      </c>
      <c r="AB7" s="17">
        <v>42755</v>
      </c>
    </row>
    <row r="8" spans="1:28" ht="29.4" thickBot="1">
      <c r="B8" s="3">
        <v>1006</v>
      </c>
      <c r="C8" s="4" t="s">
        <v>10</v>
      </c>
      <c r="D8" s="4">
        <v>80</v>
      </c>
      <c r="E8" s="4">
        <v>70</v>
      </c>
      <c r="F8" s="4">
        <v>65</v>
      </c>
      <c r="G8" s="5">
        <v>44001</v>
      </c>
      <c r="H8" s="20">
        <v>38631</v>
      </c>
      <c r="I8" s="21">
        <f t="shared" si="0"/>
        <v>215</v>
      </c>
      <c r="J8" s="21">
        <f t="shared" si="1"/>
        <v>71.666666666666671</v>
      </c>
      <c r="K8" s="20" t="str">
        <f t="shared" si="2"/>
        <v>c</v>
      </c>
      <c r="L8" t="str">
        <f>IF(AND(D8&gt;80, E8&gt;80),"yes","no")</f>
        <v>no</v>
      </c>
      <c r="N8">
        <v>106</v>
      </c>
      <c r="O8" s="3">
        <v>2006</v>
      </c>
      <c r="P8" s="4" t="s">
        <v>37</v>
      </c>
      <c r="Q8" s="4" t="s">
        <v>41</v>
      </c>
      <c r="R8" s="4" t="s">
        <v>43</v>
      </c>
      <c r="S8" s="9">
        <v>19757</v>
      </c>
      <c r="T8" s="26">
        <v>45002</v>
      </c>
      <c r="U8">
        <f t="shared" si="3"/>
        <v>0.5</v>
      </c>
      <c r="V8" t="str">
        <f t="shared" si="4"/>
        <v>nd</v>
      </c>
      <c r="X8" s="3">
        <v>3005</v>
      </c>
      <c r="Y8" s="4" t="s">
        <v>70</v>
      </c>
      <c r="Z8" s="4" t="s">
        <v>71</v>
      </c>
      <c r="AA8" s="4">
        <v>54149</v>
      </c>
      <c r="AB8" s="5">
        <v>43005</v>
      </c>
    </row>
    <row r="9" spans="1:28" ht="29.4" thickBot="1">
      <c r="B9" s="3">
        <v>1007</v>
      </c>
      <c r="C9" s="4" t="s">
        <v>11</v>
      </c>
      <c r="D9" s="4">
        <v>75</v>
      </c>
      <c r="E9" s="4">
        <v>47</v>
      </c>
      <c r="F9" s="4">
        <v>78</v>
      </c>
      <c r="G9" s="5">
        <v>44181</v>
      </c>
      <c r="H9" s="20">
        <v>38632</v>
      </c>
      <c r="I9" s="21">
        <f t="shared" si="0"/>
        <v>200</v>
      </c>
      <c r="J9" s="21">
        <f t="shared" si="1"/>
        <v>66.666666666666671</v>
      </c>
      <c r="K9" s="20" t="str">
        <f t="shared" si="2"/>
        <v>d</v>
      </c>
      <c r="L9" t="str">
        <f>IF(AND(D9&gt;80, E9&gt;80),"yes","no")</f>
        <v>no</v>
      </c>
      <c r="N9">
        <v>107</v>
      </c>
      <c r="O9" s="3">
        <v>2007</v>
      </c>
      <c r="P9" s="4" t="s">
        <v>37</v>
      </c>
      <c r="Q9" s="4" t="s">
        <v>39</v>
      </c>
      <c r="R9" s="4" t="s">
        <v>44</v>
      </c>
      <c r="S9" s="9">
        <v>32058</v>
      </c>
      <c r="T9" s="5">
        <v>45017</v>
      </c>
      <c r="U9">
        <f t="shared" si="3"/>
        <v>0.8</v>
      </c>
      <c r="V9" t="str">
        <f t="shared" si="4"/>
        <v>d</v>
      </c>
      <c r="X9" s="3">
        <v>3006</v>
      </c>
      <c r="Y9" s="4" t="s">
        <v>72</v>
      </c>
      <c r="Z9" s="4" t="s">
        <v>71</v>
      </c>
      <c r="AA9" s="4">
        <v>78689</v>
      </c>
      <c r="AB9" s="5">
        <v>43255</v>
      </c>
    </row>
    <row r="10" spans="1:28" ht="29.4" thickBot="1">
      <c r="B10" s="3">
        <v>1008</v>
      </c>
      <c r="C10" s="4" t="s">
        <v>12</v>
      </c>
      <c r="D10" s="4">
        <v>94</v>
      </c>
      <c r="E10" s="4">
        <v>67</v>
      </c>
      <c r="F10" s="4">
        <v>64</v>
      </c>
      <c r="G10" s="5">
        <v>44361</v>
      </c>
      <c r="H10" s="20">
        <v>38633</v>
      </c>
      <c r="I10" s="21">
        <f t="shared" si="0"/>
        <v>225</v>
      </c>
      <c r="J10" s="21">
        <f t="shared" si="1"/>
        <v>75</v>
      </c>
      <c r="K10" s="20" t="str">
        <f t="shared" si="2"/>
        <v>c</v>
      </c>
      <c r="L10" t="str">
        <f>IF(AND(D10&gt;80, E10&gt;80),"yes","no")</f>
        <v>no</v>
      </c>
      <c r="N10">
        <v>108</v>
      </c>
      <c r="O10" s="3">
        <v>2008</v>
      </c>
      <c r="P10" s="4" t="s">
        <v>31</v>
      </c>
      <c r="Q10" s="4" t="s">
        <v>39</v>
      </c>
      <c r="R10" s="4" t="s">
        <v>45</v>
      </c>
      <c r="S10" s="4">
        <v>46429</v>
      </c>
      <c r="T10" s="5">
        <v>45032</v>
      </c>
      <c r="U10">
        <f t="shared" si="3"/>
        <v>0.1</v>
      </c>
      <c r="V10" t="str">
        <f t="shared" si="4"/>
        <v>d</v>
      </c>
      <c r="X10" s="3">
        <v>3007</v>
      </c>
      <c r="Y10" s="4" t="s">
        <v>73</v>
      </c>
      <c r="Z10" s="4" t="s">
        <v>74</v>
      </c>
      <c r="AA10" s="4">
        <v>35960</v>
      </c>
      <c r="AB10" s="5">
        <v>43505</v>
      </c>
    </row>
    <row r="11" spans="1:28" ht="29.4" thickBot="1">
      <c r="B11" s="3">
        <v>1009</v>
      </c>
      <c r="C11" s="4" t="s">
        <v>13</v>
      </c>
      <c r="D11" s="4">
        <v>6</v>
      </c>
      <c r="E11" s="4">
        <v>20</v>
      </c>
      <c r="F11" s="4">
        <v>56</v>
      </c>
      <c r="G11" s="5">
        <v>44541</v>
      </c>
      <c r="H11" s="20">
        <v>38634</v>
      </c>
      <c r="I11" s="21">
        <f t="shared" si="0"/>
        <v>82</v>
      </c>
      <c r="J11" s="21">
        <f t="shared" si="1"/>
        <v>27.333333333333332</v>
      </c>
      <c r="K11" s="20" t="str">
        <f t="shared" si="2"/>
        <v>f</v>
      </c>
      <c r="L11" t="str">
        <f>IF(AND(D11&gt;80, E11&gt;80),"yes","no")</f>
        <v>no</v>
      </c>
      <c r="N11">
        <v>109</v>
      </c>
      <c r="O11" s="3">
        <v>2009</v>
      </c>
      <c r="P11" s="4" t="s">
        <v>34</v>
      </c>
      <c r="Q11" s="4" t="s">
        <v>39</v>
      </c>
      <c r="R11" s="4" t="s">
        <v>46</v>
      </c>
      <c r="S11" s="4">
        <v>19746</v>
      </c>
      <c r="T11" s="5">
        <v>45047</v>
      </c>
      <c r="U11">
        <f t="shared" si="3"/>
        <v>0.5</v>
      </c>
      <c r="V11" t="str">
        <f t="shared" si="4"/>
        <v>nd</v>
      </c>
      <c r="X11" s="3">
        <v>3008</v>
      </c>
      <c r="Y11" s="4" t="s">
        <v>75</v>
      </c>
      <c r="Z11" s="4" t="s">
        <v>71</v>
      </c>
      <c r="AA11" s="4">
        <v>91659</v>
      </c>
      <c r="AB11" s="5">
        <v>43755</v>
      </c>
    </row>
    <row r="12" spans="1:28" ht="29.4" thickBot="1">
      <c r="B12" s="3">
        <v>1010</v>
      </c>
      <c r="C12" s="4" t="s">
        <v>14</v>
      </c>
      <c r="D12" s="4">
        <v>98</v>
      </c>
      <c r="E12" s="4">
        <v>54</v>
      </c>
      <c r="F12" s="4">
        <v>58</v>
      </c>
      <c r="G12" s="5">
        <v>44721</v>
      </c>
      <c r="H12" s="20">
        <v>38635</v>
      </c>
      <c r="I12" s="21">
        <f t="shared" si="0"/>
        <v>210</v>
      </c>
      <c r="J12" s="21">
        <f t="shared" si="1"/>
        <v>70</v>
      </c>
      <c r="K12" s="20" t="str">
        <f t="shared" si="2"/>
        <v>d</v>
      </c>
      <c r="L12" t="str">
        <f>IF(AND(D12&gt;80, E12&gt;80),"yes","no")</f>
        <v>no</v>
      </c>
      <c r="N12">
        <v>110</v>
      </c>
      <c r="O12" s="3">
        <v>2010</v>
      </c>
      <c r="P12" s="4" t="s">
        <v>31</v>
      </c>
      <c r="Q12" s="4" t="s">
        <v>32</v>
      </c>
      <c r="R12" s="4" t="s">
        <v>47</v>
      </c>
      <c r="S12" s="4">
        <v>35185</v>
      </c>
      <c r="T12" s="5">
        <v>45062</v>
      </c>
      <c r="U12">
        <f t="shared" si="3"/>
        <v>0.8</v>
      </c>
      <c r="V12" t="str">
        <f t="shared" si="4"/>
        <v>d</v>
      </c>
      <c r="X12" s="3">
        <v>3009</v>
      </c>
      <c r="Y12" s="4" t="s">
        <v>76</v>
      </c>
      <c r="Z12" s="4" t="s">
        <v>71</v>
      </c>
      <c r="AA12" s="4">
        <v>90423</v>
      </c>
      <c r="AB12" s="5">
        <v>44005</v>
      </c>
    </row>
    <row r="13" spans="1:28" ht="29.4" thickBot="1">
      <c r="B13" s="3">
        <v>1011</v>
      </c>
      <c r="C13" s="4" t="s">
        <v>15</v>
      </c>
      <c r="D13" s="4">
        <v>73</v>
      </c>
      <c r="E13" s="4">
        <v>79</v>
      </c>
      <c r="F13" s="4">
        <v>53</v>
      </c>
      <c r="G13" s="5">
        <v>44901</v>
      </c>
      <c r="H13" s="20">
        <v>38636</v>
      </c>
      <c r="I13" s="21">
        <f t="shared" si="0"/>
        <v>205</v>
      </c>
      <c r="J13" s="21">
        <f t="shared" si="1"/>
        <v>68.333333333333329</v>
      </c>
      <c r="K13" s="20" t="str">
        <f t="shared" si="2"/>
        <v>d</v>
      </c>
      <c r="L13" t="str">
        <f>IF(AND(D13&gt;80, E13&gt;80),"yes","no")</f>
        <v>no</v>
      </c>
      <c r="N13">
        <v>111</v>
      </c>
      <c r="O13" s="3">
        <v>2011</v>
      </c>
      <c r="P13" s="4" t="s">
        <v>31</v>
      </c>
      <c r="Q13" s="4" t="s">
        <v>39</v>
      </c>
      <c r="R13" s="4" t="s">
        <v>48</v>
      </c>
      <c r="S13" s="4">
        <v>33920</v>
      </c>
      <c r="T13" s="5">
        <v>45077</v>
      </c>
      <c r="U13">
        <f t="shared" si="3"/>
        <v>0.8</v>
      </c>
      <c r="V13" t="str">
        <f t="shared" si="4"/>
        <v>d</v>
      </c>
      <c r="X13" s="3">
        <v>3010</v>
      </c>
      <c r="Y13" s="4" t="s">
        <v>77</v>
      </c>
      <c r="Z13" s="4" t="s">
        <v>68</v>
      </c>
      <c r="AA13" s="4">
        <v>107877</v>
      </c>
      <c r="AB13" s="5">
        <v>44255</v>
      </c>
    </row>
    <row r="14" spans="1:28" ht="29.4" thickBot="1">
      <c r="B14" s="3">
        <v>1012</v>
      </c>
      <c r="C14" s="4" t="s">
        <v>16</v>
      </c>
      <c r="D14" s="4">
        <v>85</v>
      </c>
      <c r="E14" s="4">
        <v>89</v>
      </c>
      <c r="F14" s="4">
        <v>79</v>
      </c>
      <c r="G14" s="5">
        <v>45081</v>
      </c>
      <c r="H14" s="20">
        <v>38637</v>
      </c>
      <c r="I14" s="21">
        <f t="shared" si="0"/>
        <v>253</v>
      </c>
      <c r="J14" s="21">
        <f t="shared" si="1"/>
        <v>84.333333333333329</v>
      </c>
      <c r="K14" s="20" t="str">
        <f t="shared" si="2"/>
        <v>b</v>
      </c>
      <c r="L14" t="str">
        <f>IF(AND(D14&gt;80, E14&gt;80),"yes","no")</f>
        <v>yes</v>
      </c>
      <c r="N14">
        <v>112</v>
      </c>
      <c r="O14" s="3">
        <v>2012</v>
      </c>
      <c r="P14" s="4" t="s">
        <v>49</v>
      </c>
      <c r="Q14" s="4" t="s">
        <v>41</v>
      </c>
      <c r="R14" s="4" t="s">
        <v>50</v>
      </c>
      <c r="S14" s="4">
        <v>35611</v>
      </c>
      <c r="T14" s="5">
        <v>45092</v>
      </c>
      <c r="U14">
        <f t="shared" si="3"/>
        <v>0.8</v>
      </c>
      <c r="V14" t="str">
        <f t="shared" si="4"/>
        <v>d</v>
      </c>
      <c r="X14" s="3">
        <v>3011</v>
      </c>
      <c r="Y14" s="4" t="s">
        <v>78</v>
      </c>
      <c r="Z14" s="4" t="s">
        <v>65</v>
      </c>
      <c r="AA14" s="4">
        <v>107634</v>
      </c>
      <c r="AB14" s="5">
        <v>44505</v>
      </c>
    </row>
    <row r="15" spans="1:28" ht="29.4" thickBot="1">
      <c r="B15" s="3">
        <v>1013</v>
      </c>
      <c r="C15" s="4" t="s">
        <v>17</v>
      </c>
      <c r="D15" s="4">
        <v>98</v>
      </c>
      <c r="E15" s="4">
        <v>90</v>
      </c>
      <c r="F15" s="4">
        <v>97</v>
      </c>
      <c r="G15" s="5">
        <v>45261</v>
      </c>
      <c r="H15" s="20">
        <v>38638</v>
      </c>
      <c r="I15" s="21">
        <f t="shared" si="0"/>
        <v>285</v>
      </c>
      <c r="J15" s="21">
        <f t="shared" si="1"/>
        <v>95</v>
      </c>
      <c r="K15" s="20" t="str">
        <f t="shared" si="2"/>
        <v>a</v>
      </c>
      <c r="L15" t="str">
        <f>IF(AND(D15&gt;80, E15&gt;80),"yes","no")</f>
        <v>yes</v>
      </c>
      <c r="N15">
        <v>113</v>
      </c>
      <c r="O15" s="3">
        <v>2013</v>
      </c>
      <c r="P15" s="4" t="s">
        <v>51</v>
      </c>
      <c r="Q15" s="4" t="s">
        <v>39</v>
      </c>
      <c r="R15" s="4" t="s">
        <v>52</v>
      </c>
      <c r="S15" s="4">
        <v>15560</v>
      </c>
      <c r="T15" s="5">
        <v>45107</v>
      </c>
      <c r="U15">
        <f t="shared" si="3"/>
        <v>0.5</v>
      </c>
      <c r="V15" t="str">
        <f t="shared" si="4"/>
        <v>nd</v>
      </c>
      <c r="X15" s="3">
        <v>3012</v>
      </c>
      <c r="Y15" s="4" t="s">
        <v>79</v>
      </c>
      <c r="Z15" s="4" t="s">
        <v>65</v>
      </c>
      <c r="AA15" s="4">
        <v>35226</v>
      </c>
      <c r="AB15" s="5">
        <v>44755</v>
      </c>
    </row>
    <row r="16" spans="1:28" ht="29.4" thickBot="1">
      <c r="B16" s="3">
        <v>1014</v>
      </c>
      <c r="C16" s="4" t="s">
        <v>18</v>
      </c>
      <c r="D16" s="4">
        <v>93</v>
      </c>
      <c r="E16" s="4">
        <v>40</v>
      </c>
      <c r="F16" s="4">
        <v>94</v>
      </c>
      <c r="G16" s="5">
        <v>45441</v>
      </c>
      <c r="H16" s="20">
        <v>38639</v>
      </c>
      <c r="I16" s="21">
        <f t="shared" si="0"/>
        <v>227</v>
      </c>
      <c r="J16" s="21">
        <f t="shared" si="1"/>
        <v>75.666666666666671</v>
      </c>
      <c r="K16" s="20" t="str">
        <f t="shared" si="2"/>
        <v>c</v>
      </c>
      <c r="L16" t="str">
        <f>IF(AND(D16&gt;80, E16&gt;80),"yes","no")</f>
        <v>no</v>
      </c>
      <c r="N16">
        <v>114</v>
      </c>
      <c r="O16" s="3">
        <v>2014</v>
      </c>
      <c r="P16" s="4" t="s">
        <v>51</v>
      </c>
      <c r="Q16" s="4" t="s">
        <v>32</v>
      </c>
      <c r="R16" s="4" t="s">
        <v>53</v>
      </c>
      <c r="S16" s="4">
        <v>7283</v>
      </c>
      <c r="T16" s="5">
        <v>45122</v>
      </c>
      <c r="U16">
        <f t="shared" si="3"/>
        <v>0.4</v>
      </c>
      <c r="V16" t="str">
        <f t="shared" si="4"/>
        <v>d</v>
      </c>
      <c r="X16" s="3">
        <v>3013</v>
      </c>
      <c r="Y16" s="4" t="s">
        <v>80</v>
      </c>
      <c r="Z16" s="4" t="s">
        <v>68</v>
      </c>
      <c r="AA16" s="4">
        <v>40872</v>
      </c>
      <c r="AB16" s="5">
        <v>45005</v>
      </c>
    </row>
    <row r="17" spans="1:28" ht="29.4" thickBot="1">
      <c r="B17" s="3">
        <v>1015</v>
      </c>
      <c r="C17" s="4" t="s">
        <v>19</v>
      </c>
      <c r="D17" s="4">
        <v>70</v>
      </c>
      <c r="E17" s="4">
        <v>51</v>
      </c>
      <c r="F17" s="4">
        <v>75</v>
      </c>
      <c r="G17" s="5">
        <v>45621</v>
      </c>
      <c r="H17" s="20">
        <v>38640</v>
      </c>
      <c r="I17" s="21">
        <f t="shared" si="0"/>
        <v>196</v>
      </c>
      <c r="J17" s="21">
        <f t="shared" si="1"/>
        <v>65.333333333333329</v>
      </c>
      <c r="K17" s="20" t="str">
        <f t="shared" si="2"/>
        <v>d</v>
      </c>
      <c r="L17" t="str">
        <f>IF(AND(D17&gt;80, E17&gt;80),"yes","no")</f>
        <v>no</v>
      </c>
      <c r="N17">
        <v>115</v>
      </c>
      <c r="O17" s="3">
        <v>2015</v>
      </c>
      <c r="P17" s="4" t="s">
        <v>51</v>
      </c>
      <c r="Q17" s="4" t="s">
        <v>39</v>
      </c>
      <c r="R17" s="4" t="s">
        <v>54</v>
      </c>
      <c r="S17" s="4">
        <v>15678</v>
      </c>
      <c r="T17" s="5">
        <v>45137</v>
      </c>
      <c r="U17">
        <f t="shared" si="3"/>
        <v>0.5</v>
      </c>
      <c r="V17" t="str">
        <f t="shared" si="4"/>
        <v>nd</v>
      </c>
      <c r="X17" s="3">
        <v>3014</v>
      </c>
      <c r="Y17" s="4" t="s">
        <v>81</v>
      </c>
      <c r="Z17" s="4" t="s">
        <v>68</v>
      </c>
      <c r="AA17" s="4">
        <v>55378</v>
      </c>
      <c r="AB17" s="5">
        <v>45255</v>
      </c>
    </row>
    <row r="18" spans="1:28" ht="29.4" thickBot="1">
      <c r="B18" s="3">
        <v>1016</v>
      </c>
      <c r="C18" s="4" t="s">
        <v>20</v>
      </c>
      <c r="D18" s="4">
        <v>98</v>
      </c>
      <c r="E18" s="4">
        <v>88</v>
      </c>
      <c r="F18" s="4">
        <v>92</v>
      </c>
      <c r="G18" s="5">
        <v>45801</v>
      </c>
      <c r="H18" s="20">
        <v>38641</v>
      </c>
      <c r="I18" s="21">
        <f t="shared" si="0"/>
        <v>278</v>
      </c>
      <c r="J18" s="21">
        <f t="shared" si="1"/>
        <v>92.666666666666671</v>
      </c>
      <c r="K18" s="20" t="str">
        <f t="shared" si="2"/>
        <v>a</v>
      </c>
      <c r="L18" t="str">
        <f>IF(AND(D18&gt;80, E18&gt;80),"yes","no")</f>
        <v>yes</v>
      </c>
      <c r="N18">
        <v>116</v>
      </c>
      <c r="O18" s="3">
        <v>2016</v>
      </c>
      <c r="P18" s="4" t="s">
        <v>37</v>
      </c>
      <c r="Q18" s="4" t="s">
        <v>39</v>
      </c>
      <c r="R18" s="4" t="s">
        <v>55</v>
      </c>
      <c r="S18" s="4">
        <v>5277</v>
      </c>
      <c r="T18" s="5">
        <v>45152</v>
      </c>
      <c r="U18">
        <f t="shared" si="3"/>
        <v>0.4</v>
      </c>
      <c r="V18" t="str">
        <f t="shared" si="4"/>
        <v>nd</v>
      </c>
      <c r="X18" s="3">
        <v>3015</v>
      </c>
      <c r="Y18" s="4" t="s">
        <v>82</v>
      </c>
      <c r="Z18" s="4" t="s">
        <v>68</v>
      </c>
      <c r="AA18" s="4">
        <v>63297</v>
      </c>
      <c r="AB18" s="5">
        <v>45505</v>
      </c>
    </row>
    <row r="19" spans="1:28" ht="29.4" thickBot="1">
      <c r="B19" s="3">
        <v>1017</v>
      </c>
      <c r="C19" s="4" t="s">
        <v>21</v>
      </c>
      <c r="D19" s="4">
        <v>66</v>
      </c>
      <c r="E19" s="4">
        <v>59</v>
      </c>
      <c r="F19" s="4">
        <v>40</v>
      </c>
      <c r="G19" s="5">
        <v>45981</v>
      </c>
      <c r="H19" s="20">
        <v>38642</v>
      </c>
      <c r="I19" s="21">
        <f t="shared" si="0"/>
        <v>165</v>
      </c>
      <c r="J19" s="21">
        <f t="shared" si="1"/>
        <v>55</v>
      </c>
      <c r="K19" s="20" t="str">
        <f t="shared" si="2"/>
        <v>f</v>
      </c>
      <c r="L19" t="str">
        <f>IF(AND(D19&gt;80, E19&gt;80),"yes","no")</f>
        <v>no</v>
      </c>
      <c r="N19">
        <v>117</v>
      </c>
      <c r="O19" s="3">
        <v>2017</v>
      </c>
      <c r="P19" s="4" t="s">
        <v>49</v>
      </c>
      <c r="Q19" s="4" t="s">
        <v>41</v>
      </c>
      <c r="R19" s="4" t="s">
        <v>56</v>
      </c>
      <c r="S19" s="4">
        <v>41871</v>
      </c>
      <c r="T19" s="5">
        <v>45167</v>
      </c>
      <c r="U19">
        <f t="shared" si="3"/>
        <v>0.1</v>
      </c>
      <c r="V19" t="str">
        <f t="shared" si="4"/>
        <v>d</v>
      </c>
      <c r="X19" s="3">
        <v>3016</v>
      </c>
      <c r="Y19" s="4" t="s">
        <v>83</v>
      </c>
      <c r="Z19" s="4" t="s">
        <v>65</v>
      </c>
      <c r="AA19" s="4">
        <v>114173</v>
      </c>
      <c r="AB19" s="5">
        <v>45755</v>
      </c>
    </row>
    <row r="20" spans="1:28" ht="29.4" thickBot="1">
      <c r="B20" s="3">
        <v>1018</v>
      </c>
      <c r="C20" s="4" t="s">
        <v>22</v>
      </c>
      <c r="D20" s="4">
        <v>82</v>
      </c>
      <c r="E20" s="4">
        <v>48</v>
      </c>
      <c r="F20" s="4">
        <v>79</v>
      </c>
      <c r="G20" s="5">
        <v>46161</v>
      </c>
      <c r="H20" s="20">
        <v>38643</v>
      </c>
      <c r="I20" s="21">
        <f t="shared" si="0"/>
        <v>209</v>
      </c>
      <c r="J20" s="21">
        <f t="shared" si="1"/>
        <v>69.666666666666671</v>
      </c>
      <c r="K20" s="20" t="str">
        <f t="shared" si="2"/>
        <v>d</v>
      </c>
      <c r="L20" t="str">
        <f>IF(AND(D20&gt;80, E20&gt;80),"yes","no")</f>
        <v>no</v>
      </c>
      <c r="N20">
        <v>118</v>
      </c>
      <c r="O20" s="3">
        <v>2018</v>
      </c>
      <c r="P20" s="4" t="s">
        <v>49</v>
      </c>
      <c r="Q20" s="4" t="s">
        <v>35</v>
      </c>
      <c r="R20" s="4" t="s">
        <v>57</v>
      </c>
      <c r="S20" s="4">
        <v>38161</v>
      </c>
      <c r="T20" s="5">
        <v>45182</v>
      </c>
      <c r="U20">
        <f t="shared" si="3"/>
        <v>0.8</v>
      </c>
      <c r="V20" t="str">
        <f t="shared" si="4"/>
        <v>d</v>
      </c>
      <c r="X20" s="3">
        <v>3017</v>
      </c>
      <c r="Y20" s="4" t="s">
        <v>84</v>
      </c>
      <c r="Z20" s="4" t="s">
        <v>68</v>
      </c>
      <c r="AA20" s="4">
        <v>86915</v>
      </c>
      <c r="AB20" s="5">
        <v>46005</v>
      </c>
    </row>
    <row r="21" spans="1:28" ht="29.4" thickBot="1">
      <c r="B21" s="3">
        <v>1019</v>
      </c>
      <c r="C21" s="4" t="s">
        <v>23</v>
      </c>
      <c r="D21" s="4">
        <v>90</v>
      </c>
      <c r="E21" s="4">
        <v>78</v>
      </c>
      <c r="F21" s="4">
        <v>60</v>
      </c>
      <c r="G21" s="5">
        <v>46341</v>
      </c>
      <c r="H21" s="20">
        <v>38644</v>
      </c>
      <c r="I21" s="21">
        <f t="shared" si="0"/>
        <v>228</v>
      </c>
      <c r="J21" s="21">
        <f t="shared" si="1"/>
        <v>76</v>
      </c>
      <c r="K21" s="20" t="str">
        <f t="shared" si="2"/>
        <v>c</v>
      </c>
      <c r="L21" t="str">
        <f>IF(AND(D21&gt;80, E21&gt;80),"yes","no")</f>
        <v>no</v>
      </c>
      <c r="N21">
        <v>119</v>
      </c>
      <c r="O21" s="3">
        <v>2019</v>
      </c>
      <c r="P21" s="4" t="s">
        <v>37</v>
      </c>
      <c r="Q21" s="4" t="s">
        <v>35</v>
      </c>
      <c r="R21" s="4" t="s">
        <v>58</v>
      </c>
      <c r="S21" s="4">
        <v>30436</v>
      </c>
      <c r="T21" s="5">
        <v>45197</v>
      </c>
      <c r="U21">
        <f t="shared" si="3"/>
        <v>0.8</v>
      </c>
      <c r="V21" t="str">
        <f t="shared" si="4"/>
        <v>d</v>
      </c>
      <c r="X21" s="3">
        <v>3018</v>
      </c>
      <c r="Y21" s="4" t="s">
        <v>85</v>
      </c>
      <c r="Z21" s="4" t="s">
        <v>71</v>
      </c>
      <c r="AA21" s="4">
        <v>116284</v>
      </c>
      <c r="AB21" s="5">
        <v>46255</v>
      </c>
    </row>
    <row r="22" spans="1:28" ht="29.4" thickBot="1">
      <c r="B22" s="3">
        <v>1020</v>
      </c>
      <c r="C22" s="4" t="s">
        <v>24</v>
      </c>
      <c r="D22" s="4">
        <v>83</v>
      </c>
      <c r="E22" s="4">
        <v>92</v>
      </c>
      <c r="F22" s="4">
        <v>55</v>
      </c>
      <c r="G22" s="5">
        <v>46521</v>
      </c>
      <c r="H22" s="20">
        <v>38645</v>
      </c>
      <c r="I22" s="21">
        <f t="shared" si="0"/>
        <v>230</v>
      </c>
      <c r="J22" s="21">
        <f t="shared" si="1"/>
        <v>76.666666666666671</v>
      </c>
      <c r="K22" s="20" t="str">
        <f t="shared" si="2"/>
        <v>c</v>
      </c>
      <c r="L22" t="str">
        <f>IF(AND(D22&gt;80, E22&gt;80),"yes","no")</f>
        <v>yes</v>
      </c>
      <c r="N22">
        <v>120</v>
      </c>
      <c r="O22" s="3">
        <v>2020</v>
      </c>
      <c r="P22" s="4" t="s">
        <v>34</v>
      </c>
      <c r="Q22" s="4" t="s">
        <v>35</v>
      </c>
      <c r="R22" s="4" t="s">
        <v>59</v>
      </c>
      <c r="S22" s="4">
        <v>33953</v>
      </c>
      <c r="T22" s="5">
        <v>45212</v>
      </c>
      <c r="U22">
        <f t="shared" si="3"/>
        <v>0.8</v>
      </c>
      <c r="V22" t="str">
        <f t="shared" si="4"/>
        <v>d</v>
      </c>
      <c r="X22" s="3">
        <v>3019</v>
      </c>
      <c r="Y22" s="4" t="s">
        <v>86</v>
      </c>
      <c r="Z22" s="4" t="s">
        <v>74</v>
      </c>
      <c r="AA22" s="4">
        <v>116283</v>
      </c>
      <c r="AB22" s="5">
        <v>46505</v>
      </c>
    </row>
    <row r="23" spans="1:28" ht="15" thickBot="1">
      <c r="A23">
        <v>2</v>
      </c>
      <c r="B23" s="24">
        <v>10</v>
      </c>
      <c r="C23" s="25">
        <v>1</v>
      </c>
      <c r="D23" s="25">
        <f>B23+C23</f>
        <v>11</v>
      </c>
      <c r="E23" s="25"/>
      <c r="F23" s="25"/>
      <c r="G23" s="20"/>
      <c r="H23" s="20"/>
      <c r="I23" s="21"/>
      <c r="J23" s="21"/>
      <c r="K23" s="20"/>
      <c r="O23" s="25"/>
      <c r="P23" s="25"/>
      <c r="Q23" s="25"/>
      <c r="R23" s="25"/>
      <c r="S23" s="25"/>
      <c r="T23" s="20"/>
      <c r="X23" s="3"/>
      <c r="Y23" s="4"/>
      <c r="Z23" s="4"/>
      <c r="AA23" s="4"/>
      <c r="AB23" s="5"/>
    </row>
    <row r="24" spans="1:28" ht="15" thickBot="1">
      <c r="B24" s="24">
        <v>20</v>
      </c>
      <c r="C24" s="25">
        <v>2</v>
      </c>
      <c r="D24" s="25">
        <f t="shared" ref="D24:D25" si="5">B24+C24</f>
        <v>22</v>
      </c>
      <c r="E24" s="25"/>
      <c r="F24" s="25"/>
      <c r="G24" s="20"/>
      <c r="H24" s="20"/>
      <c r="I24" s="21"/>
      <c r="J24" s="21"/>
      <c r="K24" s="20"/>
      <c r="O24" s="25"/>
      <c r="P24" s="25"/>
      <c r="Q24" s="25"/>
      <c r="R24" s="25"/>
      <c r="S24" s="25"/>
      <c r="T24" s="20"/>
      <c r="X24" s="3"/>
      <c r="Y24" s="4"/>
      <c r="Z24" s="4"/>
      <c r="AA24" s="4"/>
      <c r="AB24" s="5"/>
    </row>
    <row r="25" spans="1:28" ht="15" thickBot="1">
      <c r="B25" s="24">
        <v>30</v>
      </c>
      <c r="C25" s="25">
        <v>3</v>
      </c>
      <c r="D25" s="25">
        <f t="shared" si="5"/>
        <v>33</v>
      </c>
      <c r="E25" s="25"/>
      <c r="F25" s="25"/>
      <c r="G25" s="20"/>
      <c r="H25" s="20"/>
      <c r="I25" s="21"/>
      <c r="J25" s="21"/>
      <c r="K25" s="20"/>
      <c r="O25" s="25"/>
      <c r="P25" s="25"/>
      <c r="Q25" s="25"/>
      <c r="R25" s="25"/>
      <c r="S25" s="25"/>
      <c r="T25" s="20"/>
      <c r="X25" s="3"/>
      <c r="Y25" s="4"/>
      <c r="Z25" s="4"/>
      <c r="AA25" s="4"/>
      <c r="AB25" s="5"/>
    </row>
    <row r="26" spans="1:28" ht="15" thickBot="1">
      <c r="A26">
        <v>2</v>
      </c>
      <c r="B26" s="24">
        <v>10</v>
      </c>
      <c r="C26" s="25">
        <v>1</v>
      </c>
      <c r="D26" s="25">
        <f>$B$26+C26</f>
        <v>11</v>
      </c>
      <c r="E26" s="25"/>
      <c r="F26" s="25"/>
      <c r="G26" s="20"/>
      <c r="H26" s="20"/>
      <c r="I26" s="21"/>
      <c r="J26" s="21"/>
      <c r="K26" s="20"/>
      <c r="O26" s="25"/>
      <c r="P26" s="25"/>
      <c r="Q26" s="25"/>
      <c r="R26" s="25"/>
      <c r="S26" s="25"/>
      <c r="T26" s="20"/>
      <c r="X26" s="3"/>
      <c r="Y26" s="4"/>
      <c r="Z26" s="4"/>
      <c r="AA26" s="4"/>
      <c r="AB26" s="5"/>
    </row>
    <row r="27" spans="1:28" ht="15" thickBot="1">
      <c r="B27" s="24">
        <v>20</v>
      </c>
      <c r="C27" s="25">
        <v>2</v>
      </c>
      <c r="D27" s="25">
        <f t="shared" ref="D27:D28" si="6">$B$26+C27</f>
        <v>12</v>
      </c>
      <c r="E27" s="25"/>
      <c r="F27" s="25"/>
      <c r="G27" s="20"/>
      <c r="H27" s="20"/>
      <c r="I27" s="21"/>
      <c r="J27" s="21"/>
      <c r="K27" s="20"/>
      <c r="O27" s="25"/>
      <c r="P27" s="25"/>
      <c r="Q27" s="25"/>
      <c r="R27" s="25"/>
      <c r="S27" s="25"/>
      <c r="T27" s="20"/>
      <c r="X27" s="3"/>
      <c r="Y27" s="4"/>
      <c r="Z27" s="4"/>
      <c r="AA27" s="4"/>
      <c r="AB27" s="5"/>
    </row>
    <row r="28" spans="1:28" ht="15" thickBot="1">
      <c r="B28" s="24">
        <v>30</v>
      </c>
      <c r="C28" s="25">
        <v>20</v>
      </c>
      <c r="D28" s="25">
        <f t="shared" si="6"/>
        <v>30</v>
      </c>
      <c r="E28" s="25"/>
      <c r="F28" s="25"/>
      <c r="G28" s="20"/>
      <c r="H28" s="20"/>
      <c r="I28" s="21"/>
      <c r="J28" s="21"/>
      <c r="K28" s="20"/>
      <c r="O28" s="25"/>
      <c r="P28" s="25"/>
      <c r="Q28" s="25"/>
      <c r="R28" s="25"/>
      <c r="S28" s="25"/>
      <c r="T28" s="20"/>
      <c r="X28" s="3"/>
      <c r="Y28" s="4"/>
      <c r="Z28" s="4"/>
      <c r="AA28" s="4"/>
      <c r="AB28" s="5"/>
    </row>
    <row r="29" spans="1:28">
      <c r="A29">
        <v>3</v>
      </c>
      <c r="B29" t="str">
        <f>IF(J3&gt;90,"a",IF(J3&gt;80,"b",IF(J3&gt;70,"c",IF(J3&gt;60,"d","f"))))</f>
        <v>d</v>
      </c>
    </row>
    <row r="30" spans="1:28">
      <c r="A30">
        <v>4</v>
      </c>
      <c r="B30">
        <f>IF(S3&gt;40000,0.1,IF(S3&gt;=30000,0.8,IF(S3&gt;=20000,0.6,IF(S3&gt;=10000,0.5,0.4))))</f>
        <v>0.4</v>
      </c>
    </row>
    <row r="31" spans="1:28">
      <c r="A31">
        <v>5</v>
      </c>
      <c r="B31" t="str">
        <f>IF(AND(D3&gt;80, E3&gt;80),"yes","no")</f>
        <v>no</v>
      </c>
      <c r="G31" cm="1">
        <f t="array" aca="1" ref="G31:K50" ca="1">OFFSET($O$3, 0, 0, COUNTA($O:$O)-1, 5)</f>
        <v>2001</v>
      </c>
      <c r="H31" t="str">
        <f ca="1"/>
        <v>Keyboard</v>
      </c>
      <c r="I31" t="str">
        <f ca="1"/>
        <v>South</v>
      </c>
      <c r="J31" t="str">
        <f ca="1"/>
        <v>Person 1</v>
      </c>
      <c r="K31">
        <f ca="1"/>
        <v>7048.7865400000001</v>
      </c>
    </row>
    <row r="32" spans="1:28">
      <c r="A32">
        <v>6</v>
      </c>
      <c r="B32" t="str">
        <f>IF(OR(S3&gt;20000,Q3="south","east"),"d","nd")</f>
        <v>d</v>
      </c>
      <c r="G32">
        <f ca="1"/>
        <v>2002</v>
      </c>
      <c r="H32" t="str">
        <f ca="1"/>
        <v>Printer</v>
      </c>
      <c r="I32" t="str">
        <f ca="1"/>
        <v>West</v>
      </c>
      <c r="J32" t="str">
        <f ca="1"/>
        <v>Person 2</v>
      </c>
      <c r="K32">
        <f ca="1"/>
        <v>17428.123</v>
      </c>
      <c r="L32" s="18"/>
    </row>
    <row r="33" spans="1:12">
      <c r="A33">
        <v>7</v>
      </c>
      <c r="B33">
        <f>COUNTIFS(D3:D22,"&gt;50")</f>
        <v>19</v>
      </c>
      <c r="G33">
        <f ca="1"/>
        <v>2003</v>
      </c>
      <c r="H33" t="str">
        <f ca="1"/>
        <v>Mouse</v>
      </c>
      <c r="I33" t="str">
        <f ca="1"/>
        <v>South</v>
      </c>
      <c r="J33" t="str">
        <f ca="1"/>
        <v>Person 3</v>
      </c>
      <c r="K33">
        <f ca="1"/>
        <v>23672</v>
      </c>
      <c r="L33" s="18"/>
    </row>
    <row r="34" spans="1:12">
      <c r="A34">
        <v>8</v>
      </c>
      <c r="B34">
        <f>SUMIFS(S3:S22,Q3:Q22,"east",P3:P22,"laptop")</f>
        <v>31238</v>
      </c>
      <c r="G34">
        <f ca="1"/>
        <v>2004</v>
      </c>
      <c r="H34" t="str">
        <f ca="1"/>
        <v>Printer</v>
      </c>
      <c r="I34" t="str">
        <f ca="1"/>
        <v>East</v>
      </c>
      <c r="J34" t="str">
        <f ca="1"/>
        <v>Person 4</v>
      </c>
      <c r="K34">
        <f ca="1"/>
        <v>5264</v>
      </c>
    </row>
    <row r="35" spans="1:12">
      <c r="A35">
        <v>9</v>
      </c>
      <c r="B35">
        <f>AVERAGEIFS(F3:F22,F3:F22,"&gt;60")</f>
        <v>79.416666666666671</v>
      </c>
      <c r="F35" t="e" cm="1" vm="1">
        <f t="array" aca="1" ref="F35" ca="1">OFFSET($O$3, 0, 0, COUNTA($O:$O)-1, 5)</f>
        <v>#VALUE!</v>
      </c>
      <c r="G35">
        <f ca="1"/>
        <v>2005</v>
      </c>
      <c r="H35" t="str">
        <f ca="1"/>
        <v>Keyboard</v>
      </c>
      <c r="I35" t="str">
        <f ca="1"/>
        <v>North</v>
      </c>
      <c r="J35" t="str">
        <f ca="1"/>
        <v>Person 5</v>
      </c>
      <c r="K35">
        <f ca="1"/>
        <v>43388</v>
      </c>
    </row>
    <row r="36" spans="1:12">
      <c r="A36">
        <v>10</v>
      </c>
      <c r="B36" t="str">
        <f>VLOOKUP(1011,B3:G22,2,FALSE)</f>
        <v>Student 11</v>
      </c>
      <c r="G36">
        <f ca="1"/>
        <v>2006</v>
      </c>
      <c r="H36" t="str">
        <f ca="1"/>
        <v>Mouse</v>
      </c>
      <c r="I36" t="str">
        <f ca="1"/>
        <v>North</v>
      </c>
      <c r="J36" t="str">
        <f ca="1"/>
        <v>Person 6</v>
      </c>
      <c r="K36">
        <f ca="1"/>
        <v>19757</v>
      </c>
    </row>
    <row r="37" spans="1:12">
      <c r="A37">
        <v>11</v>
      </c>
      <c r="B37">
        <f>VLOOKUP(110,N2:T22,6,FALSE)</f>
        <v>35185</v>
      </c>
      <c r="G37">
        <f ca="1"/>
        <v>2007</v>
      </c>
      <c r="H37" t="str">
        <f ca="1"/>
        <v>Mouse</v>
      </c>
      <c r="I37" t="str">
        <f ca="1"/>
        <v>East</v>
      </c>
      <c r="J37" t="str">
        <f ca="1"/>
        <v>Person 7</v>
      </c>
      <c r="K37">
        <f ca="1"/>
        <v>32058</v>
      </c>
    </row>
    <row r="38" spans="1:12">
      <c r="A38">
        <v>12</v>
      </c>
      <c r="B38" t="str">
        <f>INDEX(N2:V22, MATCH(R7, R3:R22, 0), MATCH(T7, T3:T22, 0))</f>
        <v>Person 4</v>
      </c>
      <c r="G38">
        <f ca="1"/>
        <v>2008</v>
      </c>
      <c r="H38" t="str">
        <f ca="1"/>
        <v>Keyboard</v>
      </c>
      <c r="I38" t="str">
        <f ca="1"/>
        <v>East</v>
      </c>
      <c r="J38" t="str">
        <f ca="1"/>
        <v>Person 8</v>
      </c>
      <c r="K38">
        <f ca="1"/>
        <v>46429</v>
      </c>
    </row>
    <row r="39" spans="1:12">
      <c r="A39">
        <v>13</v>
      </c>
      <c r="B39" s="23"/>
      <c r="G39">
        <f ca="1"/>
        <v>2009</v>
      </c>
      <c r="H39" t="str">
        <f ca="1"/>
        <v>Printer</v>
      </c>
      <c r="I39" t="str">
        <f ca="1"/>
        <v>East</v>
      </c>
      <c r="J39" t="str">
        <f ca="1"/>
        <v>Person 9</v>
      </c>
      <c r="K39">
        <f ca="1"/>
        <v>19746</v>
      </c>
    </row>
    <row r="40" spans="1:12">
      <c r="A40">
        <v>14</v>
      </c>
      <c r="B40" t="str">
        <f>LEFT(C3,5)</f>
        <v>Manan</v>
      </c>
      <c r="G40">
        <f ca="1"/>
        <v>2010</v>
      </c>
      <c r="H40" t="str">
        <f ca="1"/>
        <v>Keyboard</v>
      </c>
      <c r="I40" t="str">
        <f ca="1"/>
        <v>South</v>
      </c>
      <c r="J40" t="str">
        <f ca="1"/>
        <v>Person 10</v>
      </c>
      <c r="K40">
        <f ca="1"/>
        <v>35185</v>
      </c>
    </row>
    <row r="41" spans="1:12">
      <c r="A41">
        <v>15</v>
      </c>
      <c r="B41" t="str">
        <f>UPPER(C3)</f>
        <v>MANAN PATEL</v>
      </c>
      <c r="G41">
        <f ca="1"/>
        <v>2011</v>
      </c>
      <c r="H41" t="str">
        <f ca="1"/>
        <v>Keyboard</v>
      </c>
      <c r="I41" t="str">
        <f ca="1"/>
        <v>East</v>
      </c>
      <c r="J41" t="str">
        <f ca="1"/>
        <v>Person 11</v>
      </c>
      <c r="K41">
        <f ca="1"/>
        <v>33920</v>
      </c>
    </row>
    <row r="42" spans="1:12">
      <c r="A42">
        <v>15</v>
      </c>
      <c r="B42" t="str">
        <f>LOWER(C3)</f>
        <v>manan patel</v>
      </c>
      <c r="G42">
        <f ca="1"/>
        <v>2012</v>
      </c>
      <c r="H42" t="str">
        <f ca="1"/>
        <v>Monitor</v>
      </c>
      <c r="I42" t="str">
        <f ca="1"/>
        <v>North</v>
      </c>
      <c r="J42" t="str">
        <f ca="1"/>
        <v>Person 12</v>
      </c>
      <c r="K42">
        <f ca="1"/>
        <v>35611</v>
      </c>
    </row>
    <row r="43" spans="1:12">
      <c r="A43">
        <v>16</v>
      </c>
      <c r="B43">
        <f>_xlfn.XLOOKUP("person 18",R3:R22,S3:S22)</f>
        <v>38161</v>
      </c>
      <c r="G43">
        <f ca="1"/>
        <v>2013</v>
      </c>
      <c r="H43" t="str">
        <f ca="1"/>
        <v>Laptop</v>
      </c>
      <c r="I43" t="str">
        <f ca="1"/>
        <v>East</v>
      </c>
      <c r="J43" t="str">
        <f ca="1"/>
        <v>Person 13</v>
      </c>
      <c r="K43">
        <f ca="1"/>
        <v>15560</v>
      </c>
    </row>
    <row r="44" spans="1:12">
      <c r="A44">
        <v>17</v>
      </c>
      <c r="B44">
        <f>_xlfn.XLOOKUP("Employee 4",Y2:Y28,AA2:AA28)</f>
        <v>109972</v>
      </c>
      <c r="G44">
        <f ca="1"/>
        <v>2014</v>
      </c>
      <c r="H44" t="str">
        <f ca="1"/>
        <v>Laptop</v>
      </c>
      <c r="I44" t="str">
        <f ca="1"/>
        <v>South</v>
      </c>
      <c r="J44" t="str">
        <f ca="1"/>
        <v>Person 14</v>
      </c>
      <c r="K44">
        <f ca="1"/>
        <v>7283</v>
      </c>
    </row>
    <row r="45" spans="1:12">
      <c r="A45">
        <v>18</v>
      </c>
      <c r="B45">
        <f>_xlfn.XMATCH("Mouse",P3:P22)</f>
        <v>3</v>
      </c>
      <c r="G45">
        <f ca="1"/>
        <v>2015</v>
      </c>
      <c r="H45" t="str">
        <f ca="1"/>
        <v>Laptop</v>
      </c>
      <c r="I45" t="str">
        <f ca="1"/>
        <v>East</v>
      </c>
      <c r="J45" t="str">
        <f ca="1"/>
        <v>Person 15</v>
      </c>
      <c r="K45">
        <f ca="1"/>
        <v>15678</v>
      </c>
    </row>
    <row r="46" spans="1:12">
      <c r="A46">
        <v>19</v>
      </c>
      <c r="B46" cm="1">
        <f t="array" aca="1" ref="B46" ca="1">INDIRECT("B"  &amp;D11)</f>
        <v>1004</v>
      </c>
      <c r="G46">
        <f ca="1"/>
        <v>2016</v>
      </c>
      <c r="H46" t="str">
        <f ca="1"/>
        <v>Mouse</v>
      </c>
      <c r="I46" t="str">
        <f ca="1"/>
        <v>East</v>
      </c>
      <c r="J46" t="str">
        <f ca="1"/>
        <v>Person 16</v>
      </c>
      <c r="K46">
        <f ca="1"/>
        <v>5277</v>
      </c>
    </row>
    <row r="47" spans="1:12">
      <c r="A47">
        <v>20</v>
      </c>
      <c r="G47">
        <f ca="1"/>
        <v>2017</v>
      </c>
      <c r="H47" t="str">
        <f ca="1"/>
        <v>Monitor</v>
      </c>
      <c r="I47" t="str">
        <f ca="1"/>
        <v>North</v>
      </c>
      <c r="J47" t="str">
        <f ca="1"/>
        <v>Person 17</v>
      </c>
      <c r="K47">
        <f ca="1"/>
        <v>41871</v>
      </c>
    </row>
    <row r="48" spans="1:12">
      <c r="A48">
        <v>21</v>
      </c>
      <c r="B48">
        <f ca="1">DATEDIF(H3,TODAY(),"Y")</f>
        <v>20</v>
      </c>
      <c r="G48">
        <f ca="1"/>
        <v>2018</v>
      </c>
      <c r="H48" t="str">
        <f ca="1"/>
        <v>Monitor</v>
      </c>
      <c r="I48" t="str">
        <f ca="1"/>
        <v>West</v>
      </c>
      <c r="J48" t="str">
        <f ca="1"/>
        <v>Person 18</v>
      </c>
      <c r="K48">
        <f ca="1"/>
        <v>38161</v>
      </c>
    </row>
    <row r="49" spans="1:11">
      <c r="A49">
        <v>22</v>
      </c>
      <c r="B49">
        <f>DATEDIF(H3,G3,"M")</f>
        <v>147</v>
      </c>
      <c r="G49">
        <f ca="1"/>
        <v>2019</v>
      </c>
      <c r="H49" t="str">
        <f ca="1"/>
        <v>Mouse</v>
      </c>
      <c r="I49" t="str">
        <f ca="1"/>
        <v>West</v>
      </c>
      <c r="J49" t="str">
        <f ca="1"/>
        <v>Person 19</v>
      </c>
      <c r="K49">
        <f ca="1"/>
        <v>30436</v>
      </c>
    </row>
    <row r="50" spans="1:11">
      <c r="A50">
        <v>23</v>
      </c>
      <c r="B50">
        <f>ROUND(52234.345,2)</f>
        <v>52234.35</v>
      </c>
      <c r="G50">
        <f ca="1"/>
        <v>2020</v>
      </c>
      <c r="H50" t="str">
        <f ca="1"/>
        <v>Printer</v>
      </c>
      <c r="I50" t="str">
        <f ca="1"/>
        <v>West</v>
      </c>
      <c r="J50" t="str">
        <f ca="1"/>
        <v>Person 20</v>
      </c>
      <c r="K50">
        <f ca="1"/>
        <v>33953</v>
      </c>
    </row>
    <row r="51" spans="1:11">
      <c r="A51">
        <v>23</v>
      </c>
      <c r="B51">
        <f>CEILING(23,5)</f>
        <v>25</v>
      </c>
    </row>
    <row r="52" spans="1:11">
      <c r="A52">
        <v>23</v>
      </c>
      <c r="B52">
        <f>FLOOR(23,5)</f>
        <v>20</v>
      </c>
    </row>
    <row r="53" spans="1:11">
      <c r="A53">
        <v>24</v>
      </c>
      <c r="B53" cm="1">
        <f t="array" ref="B53:B55">_xlfn._xlws.FILTER(J3:J22,J3:J22&gt;80,"NOT FOUND")</f>
        <v>84.333333333333329</v>
      </c>
    </row>
    <row r="54" spans="1:11">
      <c r="B54">
        <v>95</v>
      </c>
    </row>
    <row r="55" spans="1:11">
      <c r="B55">
        <v>92.666666666666671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PATEL</dc:creator>
  <cp:lastModifiedBy>MANAN PATEL</cp:lastModifiedBy>
  <dcterms:created xsi:type="dcterms:W3CDTF">2025-11-21T10:04:03Z</dcterms:created>
  <dcterms:modified xsi:type="dcterms:W3CDTF">2025-11-26T09:07:07Z</dcterms:modified>
</cp:coreProperties>
</file>